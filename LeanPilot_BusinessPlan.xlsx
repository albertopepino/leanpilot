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arket Analysis" sheetId="2" state="visible" r:id="rId2"/>
    <sheet name="Revenue Projections" sheetId="3" state="visible" r:id="rId3"/>
    <sheet name="Cost Structure" sheetId="4" state="visible" r:id="rId4"/>
    <sheet name="Pricing Strategy" sheetId="5" state="visible" r:id="rId5"/>
    <sheet name="Go-to-Market" sheetId="6" state="visible" r:id="rId6"/>
    <sheet name="KPIs &amp; Milest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0.0%"/>
    <numFmt numFmtId="166" formatCode="$#,##0;($#,##0);&quot;-&quot;"/>
    <numFmt numFmtId="167" formatCode="0.0&quot;x&quot;"/>
    <numFmt numFmtId="168" formatCode="0.0"/>
    <numFmt numFmtId="169" formatCode="0.000%"/>
  </numFmts>
  <fonts count="12">
    <font>
      <name val="Calibri"/>
      <family val="2"/>
      <color theme="1"/>
      <sz val="11"/>
      <scheme val="minor"/>
    </font>
    <font>
      <b val="1"/>
      <color rgb="004F46E5"/>
      <sz val="16"/>
    </font>
    <font>
      <b val="1"/>
      <color rgb="004F46E5"/>
      <sz val="12"/>
    </font>
    <font>
      <b val="1"/>
      <color rgb="004F46E5"/>
      <sz val="14"/>
    </font>
    <font>
      <b val="1"/>
      <color rgb="00FFFFFF"/>
      <sz val="14"/>
    </font>
    <font>
      <color rgb="000000FF"/>
    </font>
    <font>
      <color rgb="00000000"/>
    </font>
    <font>
      <b val="1"/>
      <color rgb="001F2937"/>
      <sz val="11"/>
    </font>
    <font>
      <b val="1"/>
      <color rgb="004F46E5"/>
      <sz val="11"/>
    </font>
    <font>
      <b val="1"/>
    </font>
    <font>
      <b val="1"/>
      <sz val="12"/>
    </font>
    <font>
      <b val="1"/>
      <color rgb="004F46E5"/>
    </font>
  </fonts>
  <fills count="7">
    <fill>
      <patternFill/>
    </fill>
    <fill>
      <patternFill patternType="gray125"/>
    </fill>
    <fill>
      <patternFill patternType="solid">
        <fgColor rgb="00EEF2FF"/>
      </patternFill>
    </fill>
    <fill>
      <patternFill patternType="solid">
        <fgColor rgb="004F46E5"/>
      </patternFill>
    </fill>
    <fill>
      <patternFill patternType="solid">
        <fgColor rgb="00E0E7FF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164" fontId="5" fillId="0" borderId="1" pivotButton="0" quotePrefix="0" xfId="0"/>
    <xf numFmtId="164" fontId="6" fillId="0" borderId="1" pivotButton="0" quotePrefix="0" xfId="0"/>
    <xf numFmtId="0" fontId="2" fillId="0" borderId="0" pivotButton="0" quotePrefix="0" xfId="0"/>
    <xf numFmtId="0" fontId="7" fillId="4" borderId="1" applyAlignment="1" pivotButton="0" quotePrefix="0" xfId="0">
      <alignment horizontal="center"/>
    </xf>
    <xf numFmtId="3" fontId="5" fillId="0" borderId="1" pivotButton="0" quotePrefix="0" xfId="0"/>
    <xf numFmtId="3" fontId="6" fillId="0" borderId="1" pivotButton="0" quotePrefix="0" xfId="0"/>
    <xf numFmtId="165" fontId="5" fillId="0" borderId="1" pivotButton="0" quotePrefix="0" xfId="0"/>
    <xf numFmtId="0" fontId="8" fillId="2" borderId="1" pivotButton="0" quotePrefix="0" xfId="0"/>
    <xf numFmtId="164" fontId="9" fillId="0" borderId="1" pivotButton="0" quotePrefix="0" xfId="0"/>
    <xf numFmtId="164" fontId="2" fillId="2" borderId="1" pivotButton="0" quotePrefix="0" xfId="0"/>
    <xf numFmtId="164" fontId="10" fillId="2" borderId="1" pivotButton="0" quotePrefix="0" xfId="0"/>
    <xf numFmtId="0" fontId="2" fillId="0" borderId="1" pivotButton="0" quotePrefix="0" xfId="0"/>
    <xf numFmtId="166" fontId="10" fillId="0" borderId="1" pivotButton="0" quotePrefix="0" xfId="0"/>
    <xf numFmtId="165" fontId="6" fillId="0" borderId="1" pivotButton="0" quotePrefix="0" xfId="0"/>
    <xf numFmtId="0" fontId="8" fillId="2" borderId="1" applyAlignment="1" pivotButton="0" quotePrefix="0" xfId="0">
      <alignment horizontal="left"/>
    </xf>
    <xf numFmtId="0" fontId="0" fillId="2" borderId="0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67" fontId="6" fillId="0" borderId="1" pivotButton="0" quotePrefix="0" xfId="0"/>
    <xf numFmtId="168" fontId="6" fillId="0" borderId="1" pivotButton="0" quotePrefix="0" xfId="0"/>
    <xf numFmtId="169" fontId="5" fillId="0" borderId="1" pivotButton="0" quotePrefix="0" xfId="0"/>
    <xf numFmtId="168" fontId="5" fillId="0" borderId="1" pivotButton="0" quotePrefix="0" xfId="0"/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" customWidth="1" min="3" max="3"/>
    <col width="4" customWidth="1" min="4" max="4"/>
  </cols>
  <sheetData>
    <row r="1">
      <c r="A1" s="1" t="inlineStr">
        <is>
          <t>LEANPILOT - BUSINESS PLAN</t>
        </is>
      </c>
      <c r="B1" s="1" t="inlineStr"/>
      <c r="C1" s="1" t="inlineStr"/>
      <c r="D1" s="1" t="inlineStr"/>
    </row>
    <row r="2"/>
    <row r="3">
      <c r="A3" s="2" t="inlineStr">
        <is>
          <t>Company Overview</t>
        </is>
      </c>
      <c r="B3" s="3" t="inlineStr"/>
      <c r="C3" s="3" t="inlineStr"/>
      <c r="D3" s="3" t="inlineStr"/>
    </row>
    <row r="4">
      <c r="A4" s="3" t="inlineStr">
        <is>
          <t>Company Name</t>
        </is>
      </c>
      <c r="B4" s="3" t="inlineStr">
        <is>
          <t>LeanPilot SRL</t>
        </is>
      </c>
      <c r="C4" s="3" t="inlineStr"/>
      <c r="D4" s="3" t="inlineStr"/>
    </row>
    <row r="5">
      <c r="A5" s="3" t="inlineStr">
        <is>
          <t>Founded</t>
        </is>
      </c>
      <c r="B5" s="3" t="inlineStr">
        <is>
          <t>2025</t>
        </is>
      </c>
      <c r="C5" s="3" t="inlineStr"/>
      <c r="D5" s="3" t="inlineStr"/>
    </row>
    <row r="6">
      <c r="A6" s="3" t="inlineStr">
        <is>
          <t>Headquarters</t>
        </is>
      </c>
      <c r="B6" s="3" t="inlineStr">
        <is>
          <t>Italy (EU)</t>
        </is>
      </c>
      <c r="C6" s="3" t="inlineStr"/>
      <c r="D6" s="3" t="inlineStr"/>
    </row>
    <row r="7">
      <c r="A7" s="3" t="inlineStr">
        <is>
          <t>Industry</t>
        </is>
      </c>
      <c r="B7" s="3" t="inlineStr">
        <is>
          <t>SaaS - Manufacturing Technology</t>
        </is>
      </c>
      <c r="C7" s="3" t="inlineStr"/>
      <c r="D7" s="3" t="inlineStr"/>
    </row>
    <row r="8">
      <c r="A8" s="3" t="inlineStr">
        <is>
          <t>Website</t>
        </is>
      </c>
      <c r="B8" s="3" t="inlineStr">
        <is>
          <t>https://leanpilot.io</t>
        </is>
      </c>
      <c r="C8" s="3" t="inlineStr"/>
      <c r="D8" s="3" t="inlineStr"/>
    </row>
    <row r="9"/>
    <row r="10">
      <c r="A10" s="2" t="inlineStr">
        <is>
          <t>Mission</t>
        </is>
      </c>
      <c r="B10" s="3" t="inlineStr"/>
      <c r="C10" s="3" t="inlineStr"/>
      <c r="D10" s="3" t="inlineStr"/>
    </row>
    <row r="11">
      <c r="A11" s="3" t="inlineStr"/>
      <c r="B11" s="3" t="inlineStr">
        <is>
          <t>Democratize lean manufacturing for SME factories worldwide through AI-powered digital tools.</t>
        </is>
      </c>
      <c r="C11" s="3" t="inlineStr"/>
      <c r="D11" s="3" t="inlineStr"/>
    </row>
    <row r="12"/>
    <row r="13">
      <c r="A13" s="2" t="inlineStr">
        <is>
          <t>Vision</t>
        </is>
      </c>
      <c r="B13" s="3" t="inlineStr"/>
      <c r="C13" s="3" t="inlineStr"/>
      <c r="D13" s="3" t="inlineStr"/>
    </row>
    <row r="14">
      <c r="A14" s="3" t="inlineStr"/>
      <c r="B14" s="3" t="inlineStr">
        <is>
          <t>Become the global standard for digital lean management in factories with 10-500 employees.</t>
        </is>
      </c>
      <c r="C14" s="3" t="inlineStr"/>
      <c r="D14" s="3" t="inlineStr"/>
    </row>
    <row r="15"/>
    <row r="16">
      <c r="A16" s="2" t="inlineStr">
        <is>
          <t>Value Proposition</t>
        </is>
      </c>
      <c r="B16" s="3" t="inlineStr"/>
      <c r="C16" s="3" t="inlineStr"/>
      <c r="D16" s="3" t="inlineStr"/>
    </row>
    <row r="17">
      <c r="A17" s="3" t="inlineStr"/>
      <c r="B17" s="3" t="inlineStr">
        <is>
          <t>17 integrated lean tools + AI copilot in one platform, replacing fragmented Excel/paper processes.</t>
        </is>
      </c>
      <c r="C17" s="3" t="inlineStr"/>
      <c r="D17" s="3" t="inlineStr"/>
    </row>
    <row r="18"/>
    <row r="19">
      <c r="A19" s="2" t="inlineStr">
        <is>
          <t>Key Differentiators</t>
        </is>
      </c>
      <c r="B19" s="3" t="inlineStr"/>
      <c r="C19" s="3" t="inlineStr"/>
      <c r="D19" s="3" t="inlineStr"/>
    </row>
    <row r="20">
      <c r="A20" s="3" t="inlineStr">
        <is>
          <t>1.</t>
        </is>
      </c>
      <c r="B20" s="3" t="inlineStr">
        <is>
          <t>All-in-one: OEE, TPM, SMED, VSM, 6S, CILT, Kaizen, A3, 5Why, Ishikawa, Pareto, Gemba, Andon + more</t>
        </is>
      </c>
      <c r="C20" s="3" t="inlineStr"/>
      <c r="D20" s="3" t="inlineStr"/>
    </row>
    <row r="21">
      <c r="A21" s="3" t="inlineStr">
        <is>
          <t>2.</t>
        </is>
      </c>
      <c r="B21" s="3" t="inlineStr">
        <is>
          <t>AI-powered Factory Copilot (lean-only, multilingual)</t>
        </is>
      </c>
      <c r="C21" s="3" t="inlineStr"/>
      <c r="D21" s="3" t="inlineStr"/>
    </row>
    <row r="22">
      <c r="A22" s="3" t="inlineStr">
        <is>
          <t>3.</t>
        </is>
      </c>
      <c r="B22" s="3" t="inlineStr">
        <is>
          <t>Lean Assessment wizard with personalized tool recommendations</t>
        </is>
      </c>
      <c r="C22" s="3" t="inlineStr"/>
      <c r="D22" s="3" t="inlineStr"/>
    </row>
    <row r="23">
      <c r="A23" s="3" t="inlineStr">
        <is>
          <t>4.</t>
        </is>
      </c>
      <c r="B23" s="3" t="inlineStr">
        <is>
          <t>Mobile-first, designed for shop floor use</t>
        </is>
      </c>
      <c r="C23" s="3" t="inlineStr"/>
      <c r="D23" s="3" t="inlineStr"/>
    </row>
    <row r="24">
      <c r="A24" s="3" t="inlineStr">
        <is>
          <t>5.</t>
        </is>
      </c>
      <c r="B24" s="3" t="inlineStr">
        <is>
          <t>GDPR + ePrivacy compliant (EU-first approach)</t>
        </is>
      </c>
      <c r="C24" s="3" t="inlineStr"/>
      <c r="D24" s="3" t="inlineStr"/>
    </row>
    <row r="25"/>
    <row r="26">
      <c r="A26" s="2" t="inlineStr">
        <is>
          <t>Target Market</t>
        </is>
      </c>
      <c r="B26" s="3" t="inlineStr"/>
      <c r="C26" s="3" t="inlineStr"/>
      <c r="D26" s="3" t="inlineStr"/>
    </row>
    <row r="27">
      <c r="A27" s="3" t="inlineStr">
        <is>
          <t>Primary</t>
        </is>
      </c>
      <c r="B27" s="3" t="inlineStr">
        <is>
          <t>SME manufacturers (10-500 employees) in EU, Balkans, UK</t>
        </is>
      </c>
      <c r="C27" s="3" t="inlineStr"/>
      <c r="D27" s="3" t="inlineStr"/>
    </row>
    <row r="28">
      <c r="A28" s="3" t="inlineStr">
        <is>
          <t>Secondary</t>
        </is>
      </c>
      <c r="B28" s="3" t="inlineStr">
        <is>
          <t>Lean consultants and training organizations</t>
        </is>
      </c>
      <c r="C28" s="3" t="inlineStr"/>
      <c r="D28" s="3" t="inlineStr"/>
    </row>
    <row r="29">
      <c r="A29" s="3" t="inlineStr">
        <is>
          <t>Tertiary</t>
        </is>
      </c>
      <c r="B29" s="3" t="inlineStr">
        <is>
          <t>Large enterprises seeking departmental lean tools</t>
        </is>
      </c>
      <c r="C29" s="3" t="inlineStr"/>
      <c r="D29" s="3" t="inlineStr"/>
    </row>
    <row r="30"/>
    <row r="31">
      <c r="A31" s="2" t="inlineStr">
        <is>
          <t>Business Model</t>
        </is>
      </c>
      <c r="B31" s="3" t="inlineStr"/>
      <c r="C31" s="3" t="inlineStr"/>
      <c r="D31" s="3" t="inlineStr"/>
    </row>
    <row r="32">
      <c r="A32" s="3" t="inlineStr">
        <is>
          <t>Type</t>
        </is>
      </c>
      <c r="B32" s="3" t="inlineStr">
        <is>
          <t>B2B SaaS - Monthly/Annual subscription</t>
        </is>
      </c>
      <c r="C32" s="3" t="inlineStr"/>
      <c r="D32" s="3" t="inlineStr"/>
    </row>
    <row r="33">
      <c r="A33" s="3" t="inlineStr">
        <is>
          <t>Free Trial</t>
        </is>
      </c>
      <c r="B33" s="3" t="inlineStr">
        <is>
          <t>14 days, full access, no credit card</t>
        </is>
      </c>
      <c r="C33" s="3" t="inlineStr"/>
      <c r="D33" s="3" t="inlineStr"/>
    </row>
    <row r="34">
      <c r="A34" s="3" t="inlineStr">
        <is>
          <t>Pricing Tiers</t>
        </is>
      </c>
      <c r="B34" s="3" t="inlineStr">
        <is>
          <t>Starter / Professional / Business / Enterprise</t>
        </is>
      </c>
      <c r="C34" s="3" t="inlineStr"/>
      <c r="D34" s="3" t="inlineStr"/>
    </row>
    <row r="35">
      <c r="A35" s="3" t="inlineStr">
        <is>
          <t>Revenue Streams</t>
        </is>
      </c>
      <c r="B35" s="3" t="inlineStr">
        <is>
          <t>Subscriptions, AI add-on, custom integrations, training</t>
        </is>
      </c>
      <c r="C35" s="3" t="inlineStr"/>
      <c r="D3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9" customWidth="1" min="3" max="3"/>
    <col width="40" customWidth="1" min="4" max="4"/>
  </cols>
  <sheetData>
    <row r="1">
      <c r="A1" s="4" t="inlineStr">
        <is>
          <t>MARKET ANALYSIS</t>
        </is>
      </c>
    </row>
    <row r="2"/>
    <row r="3">
      <c r="A3" s="5" t="inlineStr">
        <is>
          <t>Metric</t>
        </is>
      </c>
      <c r="B3" s="5" t="inlineStr">
        <is>
          <t>Value</t>
        </is>
      </c>
      <c r="C3" s="5" t="inlineStr">
        <is>
          <t>Basis</t>
        </is>
      </c>
      <c r="D3" s="5" t="inlineStr">
        <is>
          <t>Source</t>
        </is>
      </c>
    </row>
    <row r="4">
      <c r="A4" s="3" t="inlineStr">
        <is>
          <t>Global Manufacturing SaaS TAM</t>
        </is>
      </c>
      <c r="B4" s="6" t="n">
        <v>50000000000</v>
      </c>
      <c r="C4" s="3" t="inlineStr">
        <is>
          <t>Global market size 2025</t>
        </is>
      </c>
      <c r="D4" s="3" t="inlineStr">
        <is>
          <t>Source: Grand View Research, 2024</t>
        </is>
      </c>
    </row>
    <row r="5">
      <c r="A5" s="3" t="inlineStr">
        <is>
          <t>EU SME Manufacturing SAM</t>
        </is>
      </c>
      <c r="B5" s="6" t="n">
        <v>2500000000</v>
      </c>
      <c r="C5" s="3" t="inlineStr">
        <is>
          <t>EU SME segment (~5% of TAM)</t>
        </is>
      </c>
      <c r="D5" s="3" t="inlineStr">
        <is>
          <t>Source: Eurostat SME data, 2024</t>
        </is>
      </c>
    </row>
    <row r="6">
      <c r="A6" s="3" t="inlineStr">
        <is>
          <t>Lean-specific SOM (Year 5)</t>
        </is>
      </c>
      <c r="B6" s="7">
        <f>B5*0.005</f>
        <v/>
      </c>
      <c r="C6" s="3" t="inlineStr">
        <is>
          <t>Target 0.5% of SAM</t>
        </is>
      </c>
      <c r="D6" s="3" t="inlineStr">
        <is>
          <t>Calculated</t>
        </is>
      </c>
    </row>
    <row r="7">
      <c r="A7" s="3" t="inlineStr">
        <is>
          <t>Target Factories (EU+Balkans)</t>
        </is>
      </c>
      <c r="B7" s="6" t="n">
        <v>180000</v>
      </c>
      <c r="C7" s="3" t="inlineStr">
        <is>
          <t>Factories 10-500 employees</t>
        </is>
      </c>
      <c r="D7" s="3" t="inlineStr">
        <is>
          <t>Source: Eurostat SBS, 2024</t>
        </is>
      </c>
    </row>
    <row r="8">
      <c r="A8" s="3" t="inlineStr">
        <is>
          <t>Addressable (digital-ready)</t>
        </is>
      </c>
      <c r="B8" s="6" t="n">
        <v>54000</v>
      </c>
      <c r="C8" s="3" t="inlineStr">
        <is>
          <t>~30% digital adoption rate</t>
        </is>
      </c>
      <c r="D8" s="3" t="inlineStr">
        <is>
          <t>Source: EU Digital Economy Index</t>
        </is>
      </c>
    </row>
    <row r="9"/>
    <row r="10"/>
    <row r="11">
      <c r="A11" s="8" t="inlineStr">
        <is>
          <t>COMPETITOR LANDSCAPE</t>
        </is>
      </c>
    </row>
    <row r="12">
      <c r="A12" s="9" t="inlineStr">
        <is>
          <t>Competitor</t>
        </is>
      </c>
      <c r="B12" s="9" t="inlineStr">
        <is>
          <t>Focus</t>
        </is>
      </c>
      <c r="C12" s="9" t="inlineStr">
        <is>
          <t>Pricing</t>
        </is>
      </c>
      <c r="D12" s="9" t="inlineStr">
        <is>
          <t>Weakness vs LeanPilot</t>
        </is>
      </c>
    </row>
    <row r="13">
      <c r="A13" s="3" t="inlineStr">
        <is>
          <t>Tulip</t>
        </is>
      </c>
      <c r="B13" s="3" t="inlineStr">
        <is>
          <t>No-code manufacturing apps</t>
        </is>
      </c>
      <c r="C13" s="3" t="inlineStr">
        <is>
          <t>$250+/mo</t>
        </is>
      </c>
      <c r="D13" s="3" t="inlineStr">
        <is>
          <t>Complex setup, no lean methodology focus</t>
        </is>
      </c>
    </row>
    <row r="14">
      <c r="A14" s="3" t="inlineStr">
        <is>
          <t>Poka</t>
        </is>
      </c>
      <c r="B14" s="3" t="inlineStr">
        <is>
          <t>Connected worker platform</t>
        </is>
      </c>
      <c r="C14" s="3" t="inlineStr">
        <is>
          <t>Enterprise only</t>
        </is>
      </c>
      <c r="D14" s="3" t="inlineStr">
        <is>
          <t>No lean tools, large enterprise focus</t>
        </is>
      </c>
    </row>
    <row r="15">
      <c r="A15" s="3" t="inlineStr">
        <is>
          <t>Evocon</t>
        </is>
      </c>
      <c r="B15" s="3" t="inlineStr">
        <is>
          <t>OEE monitoring</t>
        </is>
      </c>
      <c r="C15" s="3" t="inlineStr">
        <is>
          <t>EUR99+/mo</t>
        </is>
      </c>
      <c r="D15" s="3" t="inlineStr">
        <is>
          <t>OEE-only, no problem-solving tools</t>
        </is>
      </c>
    </row>
    <row r="16">
      <c r="A16" s="3" t="inlineStr">
        <is>
          <t>Parsable</t>
        </is>
      </c>
      <c r="B16" s="3" t="inlineStr">
        <is>
          <t>Digital work instructions</t>
        </is>
      </c>
      <c r="C16" s="3" t="inlineStr">
        <is>
          <t>Enterprise</t>
        </is>
      </c>
      <c r="D16" s="3" t="inlineStr">
        <is>
          <t>No lean assessment, no AI copilot</t>
        </is>
      </c>
    </row>
    <row r="17">
      <c r="A17" s="3" t="inlineStr">
        <is>
          <t>MaintainX</t>
        </is>
      </c>
      <c r="B17" s="3" t="inlineStr">
        <is>
          <t>CMMS / maintenance</t>
        </is>
      </c>
      <c r="C17" s="3" t="inlineStr">
        <is>
          <t>$16+/user/mo</t>
        </is>
      </c>
      <c r="D17" s="3" t="inlineStr">
        <is>
          <t>Maintenance-only, no lean suite</t>
        </is>
      </c>
    </row>
    <row r="18">
      <c r="A18" s="3" t="inlineStr">
        <is>
          <t>SafetyCulture</t>
        </is>
      </c>
      <c r="B18" s="3" t="inlineStr">
        <is>
          <t>Inspections &amp; audits</t>
        </is>
      </c>
      <c r="C18" s="3" t="inlineStr">
        <is>
          <t>$24+/user/mo</t>
        </is>
      </c>
      <c r="D18" s="3" t="inlineStr">
        <is>
          <t>Audit-focused, not lean-specific</t>
        </is>
      </c>
    </row>
    <row r="19">
      <c r="A19" s="3" t="inlineStr">
        <is>
          <t>Excel/Paper</t>
        </is>
      </c>
      <c r="B19" s="3" t="inlineStr">
        <is>
          <t>Manual lean tracking</t>
        </is>
      </c>
      <c r="C19" s="3" t="inlineStr">
        <is>
          <t>Free</t>
        </is>
      </c>
      <c r="D19" s="3" t="inlineStr">
        <is>
          <t>No automation, no analytics, error-prone</t>
        </is>
      </c>
    </row>
    <row r="20"/>
    <row r="21"/>
    <row r="22">
      <c r="A22" s="8" t="inlineStr">
        <is>
          <t>SWOT ANALYSIS</t>
        </is>
      </c>
    </row>
    <row r="23">
      <c r="A23" s="9" t="inlineStr">
        <is>
          <t>Strengths</t>
        </is>
      </c>
      <c r="B23" s="9" t="inlineStr">
        <is>
          <t>Weaknesses</t>
        </is>
      </c>
      <c r="C23" s="9" t="inlineStr">
        <is>
          <t>Opportunities</t>
        </is>
      </c>
      <c r="D23" s="9" t="inlineStr">
        <is>
          <t>Threats</t>
        </is>
      </c>
    </row>
    <row r="24">
      <c r="A24" s="3" t="inlineStr">
        <is>
          <t>All-in-one lean suite (17 tools)</t>
        </is>
      </c>
      <c r="B24" s="3" t="inlineStr">
        <is>
          <t>New brand, no track record</t>
        </is>
      </c>
      <c r="C24" s="3" t="inlineStr">
        <is>
          <t>EU Green Deal driving lean adoption</t>
        </is>
      </c>
      <c r="D24" s="3" t="inlineStr">
        <is>
          <t>Large players adding lean modules</t>
        </is>
      </c>
    </row>
    <row r="25">
      <c r="A25" s="3" t="inlineStr">
        <is>
          <t>AI-powered copilot</t>
        </is>
      </c>
      <c r="B25" s="3" t="inlineStr">
        <is>
          <t>Small initial team</t>
        </is>
      </c>
      <c r="C25" s="3" t="inlineStr">
        <is>
          <t>Post-COVID digital transformation</t>
        </is>
      </c>
      <c r="D25" s="3" t="inlineStr">
        <is>
          <t>Open-source lean tools emerging</t>
        </is>
      </c>
    </row>
    <row r="26">
      <c r="A26" s="3" t="inlineStr">
        <is>
          <t>GDPR-first design</t>
        </is>
      </c>
      <c r="B26" s="3" t="inlineStr">
        <is>
          <t>Limited initial languages</t>
        </is>
      </c>
      <c r="C26" s="3" t="inlineStr">
        <is>
          <t>Balkans underserved market</t>
        </is>
      </c>
      <c r="D26" s="3" t="inlineStr">
        <is>
          <t>Economic downturn reducing IT spend</t>
        </is>
      </c>
    </row>
    <row r="27">
      <c r="A27" s="3" t="inlineStr">
        <is>
          <t>Competitive pricing</t>
        </is>
      </c>
      <c r="B27" s="3" t="inlineStr">
        <is>
          <t>No mobile app (PWA only)</t>
        </is>
      </c>
      <c r="C27" s="3" t="inlineStr">
        <is>
          <t>Lean consulting partnerships</t>
        </is>
      </c>
      <c r="D27" s="3" t="inlineStr">
        <is>
          <t>Resistance to digital tools in SMEs</t>
        </is>
      </c>
    </row>
    <row r="28">
      <c r="A28" s="3" t="inlineStr">
        <is>
          <t>Multilingual (EN/IT, expanding)</t>
        </is>
      </c>
      <c r="B28" s="3" t="inlineStr">
        <is>
          <t>Single cloud region initially</t>
        </is>
      </c>
      <c r="C28" s="3" t="inlineStr">
        <is>
          <t>Government digitization subsidies</t>
        </is>
      </c>
      <c r="D28" s="3" t="inlineStr">
        <is>
          <t>Data sovereignty concerns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</cols>
  <sheetData>
    <row r="1">
      <c r="A1" s="4" t="inlineStr">
        <is>
          <t>5-YEAR REVENUE PROJECTIONS</t>
        </is>
      </c>
    </row>
    <row r="2"/>
    <row r="3">
      <c r="A3" s="5" t="inlineStr">
        <is>
          <t>Metric</t>
        </is>
      </c>
      <c r="B3" s="5" t="inlineStr">
        <is>
          <t>Year 1</t>
        </is>
      </c>
      <c r="C3" s="5" t="inlineStr">
        <is>
          <t>Year 2</t>
        </is>
      </c>
      <c r="D3" s="5" t="inlineStr">
        <is>
          <t>Year 3</t>
        </is>
      </c>
      <c r="E3" s="5" t="inlineStr">
        <is>
          <t>Year 4</t>
        </is>
      </c>
      <c r="F3" s="5" t="inlineStr">
        <is>
          <t>Year 5</t>
        </is>
      </c>
    </row>
    <row r="4">
      <c r="A4" s="3" t="inlineStr">
        <is>
          <t>New Customers (Starter)</t>
        </is>
      </c>
      <c r="B4" s="10" t="n">
        <v>40</v>
      </c>
      <c r="C4" s="6" t="n">
        <v>120</v>
      </c>
      <c r="D4" s="6" t="n">
        <v>280</v>
      </c>
      <c r="E4" s="6" t="n">
        <v>500</v>
      </c>
      <c r="F4" s="6" t="n">
        <v>750</v>
      </c>
    </row>
    <row r="5">
      <c r="A5" s="3" t="inlineStr">
        <is>
          <t>New Customers (Professional)</t>
        </is>
      </c>
      <c r="B5" s="10" t="n">
        <v>15</v>
      </c>
      <c r="C5" s="6" t="n">
        <v>60</v>
      </c>
      <c r="D5" s="6" t="n">
        <v>180</v>
      </c>
      <c r="E5" s="6" t="n">
        <v>350</v>
      </c>
      <c r="F5" s="6" t="n">
        <v>550</v>
      </c>
    </row>
    <row r="6">
      <c r="A6" s="3" t="inlineStr">
        <is>
          <t>New Customers (Business)</t>
        </is>
      </c>
      <c r="B6" s="10" t="n">
        <v>5</v>
      </c>
      <c r="C6" s="10" t="n">
        <v>25</v>
      </c>
      <c r="D6" s="6" t="n">
        <v>80</v>
      </c>
      <c r="E6" s="6" t="n">
        <v>180</v>
      </c>
      <c r="F6" s="6" t="n">
        <v>320</v>
      </c>
    </row>
    <row r="7">
      <c r="A7" s="3" t="inlineStr">
        <is>
          <t>New Customers (Enterprise)</t>
        </is>
      </c>
      <c r="B7" s="10" t="n">
        <v>1</v>
      </c>
      <c r="C7" s="10" t="n">
        <v>5</v>
      </c>
      <c r="D7" s="10" t="n">
        <v>15</v>
      </c>
      <c r="E7" s="10" t="n">
        <v>40</v>
      </c>
      <c r="F7" s="6" t="n">
        <v>80</v>
      </c>
    </row>
    <row r="8">
      <c r="A8" s="3" t="inlineStr">
        <is>
          <t>Total New Customers</t>
        </is>
      </c>
      <c r="B8" s="11">
        <f>SUM(B4:B7)</f>
        <v/>
      </c>
      <c r="C8" s="11">
        <f>SUM(C4:C7)</f>
        <v/>
      </c>
      <c r="D8" s="11">
        <f>SUM(D4:D7)</f>
        <v/>
      </c>
      <c r="E8" s="11">
        <f>SUM(E4:E7)</f>
        <v/>
      </c>
      <c r="F8" s="11">
        <f>SUM(F4:F7)</f>
        <v/>
      </c>
    </row>
    <row r="9">
      <c r="A9" s="3" t="inlineStr">
        <is>
          <t>Cumulative Customers</t>
        </is>
      </c>
      <c r="B9" s="11">
        <f>B8</f>
        <v/>
      </c>
      <c r="C9" s="11">
        <f>B9+C8</f>
        <v/>
      </c>
      <c r="D9" s="11">
        <f>C9+D8</f>
        <v/>
      </c>
      <c r="E9" s="11">
        <f>D9+E8</f>
        <v/>
      </c>
      <c r="F9" s="11">
        <f>E9+F8</f>
        <v/>
      </c>
    </row>
    <row r="10">
      <c r="A10" s="3" t="inlineStr">
        <is>
          <t>Churn Rate (Annual)</t>
        </is>
      </c>
      <c r="B10" s="12" t="n">
        <v>0.15</v>
      </c>
      <c r="C10" s="12" t="n">
        <v>0.12</v>
      </c>
      <c r="D10" s="12" t="n">
        <v>0.1</v>
      </c>
      <c r="E10" s="12" t="n">
        <v>0.08</v>
      </c>
      <c r="F10" s="12" t="n">
        <v>0.07000000000000001</v>
      </c>
    </row>
    <row r="11">
      <c r="A11" s="3" t="inlineStr">
        <is>
          <t>Churned Customers</t>
        </is>
      </c>
      <c r="B11" s="11">
        <f>ROUND(B9*B10,0)</f>
        <v/>
      </c>
      <c r="C11" s="11">
        <f>ROUND(B12*C10,0)</f>
        <v/>
      </c>
      <c r="D11" s="11">
        <f>ROUND(C12*D10,0)</f>
        <v/>
      </c>
      <c r="E11" s="11">
        <f>ROUND(D12*E10,0)</f>
        <v/>
      </c>
      <c r="F11" s="11">
        <f>ROUND(E12*F10,0)</f>
        <v/>
      </c>
    </row>
    <row r="12">
      <c r="A12" s="3" t="inlineStr">
        <is>
          <t>Active Customers (End)</t>
        </is>
      </c>
      <c r="B12" s="11">
        <f>B9-B11</f>
        <v/>
      </c>
      <c r="C12" s="11">
        <f>C9-C11</f>
        <v/>
      </c>
      <c r="D12" s="11">
        <f>D9-D11</f>
        <v/>
      </c>
      <c r="E12" s="11">
        <f>E9-E11</f>
        <v/>
      </c>
      <c r="F12" s="11">
        <f>F9-F11</f>
        <v/>
      </c>
    </row>
    <row r="13"/>
    <row r="14">
      <c r="A14" s="13" t="inlineStr">
        <is>
          <t>PRICING (Monthly)</t>
        </is>
      </c>
    </row>
    <row r="15">
      <c r="A15" s="3" t="inlineStr">
        <is>
          <t>Starter</t>
        </is>
      </c>
      <c r="B15" s="6" t="n">
        <v>49</v>
      </c>
      <c r="C15" s="6" t="n">
        <v>49</v>
      </c>
      <c r="D15" s="6" t="n">
        <v>59</v>
      </c>
      <c r="E15" s="6" t="n">
        <v>59</v>
      </c>
      <c r="F15" s="6" t="n">
        <v>69</v>
      </c>
    </row>
    <row r="16">
      <c r="A16" s="3" t="inlineStr">
        <is>
          <t>Professional</t>
        </is>
      </c>
      <c r="B16" s="6" t="n">
        <v>149</v>
      </c>
      <c r="C16" s="6" t="n">
        <v>149</v>
      </c>
      <c r="D16" s="6" t="n">
        <v>179</v>
      </c>
      <c r="E16" s="6" t="n">
        <v>179</v>
      </c>
      <c r="F16" s="6" t="n">
        <v>199</v>
      </c>
    </row>
    <row r="17">
      <c r="A17" s="3" t="inlineStr">
        <is>
          <t>Business</t>
        </is>
      </c>
      <c r="B17" s="6" t="n">
        <v>349</v>
      </c>
      <c r="C17" s="6" t="n">
        <v>349</v>
      </c>
      <c r="D17" s="6" t="n">
        <v>399</v>
      </c>
      <c r="E17" s="6" t="n">
        <v>399</v>
      </c>
      <c r="F17" s="6" t="n">
        <v>449</v>
      </c>
    </row>
    <row r="18">
      <c r="A18" s="3" t="inlineStr">
        <is>
          <t>Enterprise</t>
        </is>
      </c>
      <c r="B18" s="6" t="n">
        <v>899</v>
      </c>
      <c r="C18" s="6" t="n">
        <v>899</v>
      </c>
      <c r="D18" s="6" t="n">
        <v>999</v>
      </c>
      <c r="E18" s="6" t="n">
        <v>999</v>
      </c>
      <c r="F18" s="6" t="n">
        <v>1099</v>
      </c>
    </row>
    <row r="19"/>
    <row r="20">
      <c r="A20" s="13" t="inlineStr">
        <is>
          <t>MONTHLY RECURRING REVENUE</t>
        </is>
      </c>
    </row>
    <row r="21">
      <c r="A21" s="3" t="inlineStr">
        <is>
          <t>MRR - Starter</t>
        </is>
      </c>
      <c r="B21" s="7">
        <f>B4*B15</f>
        <v/>
      </c>
      <c r="C21" s="7">
        <f>C4*C15</f>
        <v/>
      </c>
      <c r="D21" s="7">
        <f>D4*D15</f>
        <v/>
      </c>
      <c r="E21" s="7">
        <f>E4*E15</f>
        <v/>
      </c>
      <c r="F21" s="7">
        <f>F4*F15</f>
        <v/>
      </c>
    </row>
    <row r="22">
      <c r="A22" s="3" t="inlineStr">
        <is>
          <t>MRR - Professional</t>
        </is>
      </c>
      <c r="B22" s="7">
        <f>B5*B16</f>
        <v/>
      </c>
      <c r="C22" s="7">
        <f>C5*C16</f>
        <v/>
      </c>
      <c r="D22" s="7">
        <f>D5*D16</f>
        <v/>
      </c>
      <c r="E22" s="7">
        <f>E5*E16</f>
        <v/>
      </c>
      <c r="F22" s="7">
        <f>F5*F16</f>
        <v/>
      </c>
    </row>
    <row r="23">
      <c r="A23" s="3" t="inlineStr">
        <is>
          <t>MRR - Business</t>
        </is>
      </c>
      <c r="B23" s="7">
        <f>B6*B17</f>
        <v/>
      </c>
      <c r="C23" s="7">
        <f>C6*C17</f>
        <v/>
      </c>
      <c r="D23" s="7">
        <f>D6*D17</f>
        <v/>
      </c>
      <c r="E23" s="7">
        <f>E6*E17</f>
        <v/>
      </c>
      <c r="F23" s="7">
        <f>F6*F17</f>
        <v/>
      </c>
    </row>
    <row r="24">
      <c r="A24" s="3" t="inlineStr">
        <is>
          <t>MRR - Enterprise</t>
        </is>
      </c>
      <c r="B24" s="7">
        <f>B7*B18</f>
        <v/>
      </c>
      <c r="C24" s="7">
        <f>C7*C18</f>
        <v/>
      </c>
      <c r="D24" s="7">
        <f>D7*D18</f>
        <v/>
      </c>
      <c r="E24" s="7">
        <f>E7*E18</f>
        <v/>
      </c>
      <c r="F24" s="7">
        <f>F7*F18</f>
        <v/>
      </c>
    </row>
    <row r="25">
      <c r="A25" s="3" t="inlineStr">
        <is>
          <t>Total MRR</t>
        </is>
      </c>
      <c r="B25" s="14">
        <f>SUM(B21:B24)</f>
        <v/>
      </c>
      <c r="C25" s="14">
        <f>SUM(C21:C24)</f>
        <v/>
      </c>
      <c r="D25" s="14">
        <f>SUM(D21:D24)</f>
        <v/>
      </c>
      <c r="E25" s="14">
        <f>SUM(E21:E24)</f>
        <v/>
      </c>
      <c r="F25" s="14">
        <f>SUM(F21:F24)</f>
        <v/>
      </c>
    </row>
    <row r="26">
      <c r="A26" s="3" t="inlineStr">
        <is>
          <t>ARR (Annual Recurring Revenue)</t>
        </is>
      </c>
      <c r="B26" s="14">
        <f>B25*12</f>
        <v/>
      </c>
      <c r="C26" s="14">
        <f>C25*12</f>
        <v/>
      </c>
      <c r="D26" s="14">
        <f>D25*12</f>
        <v/>
      </c>
      <c r="E26" s="14">
        <f>E25*12</f>
        <v/>
      </c>
      <c r="F26" s="14">
        <f>F25*12</f>
        <v/>
      </c>
    </row>
    <row r="27"/>
    <row r="28">
      <c r="A28" s="13" t="inlineStr">
        <is>
          <t>ADDITIONAL REVENUE</t>
        </is>
      </c>
    </row>
    <row r="29">
      <c r="A29" s="3" t="inlineStr">
        <is>
          <t>AI Copilot Add-on (20% uptake)</t>
        </is>
      </c>
      <c r="B29" s="7">
        <f>ROUND(B12*0.2*29*12,0)</f>
        <v/>
      </c>
      <c r="C29" s="7">
        <f>ROUND(C12*0.2*29*12,0)</f>
        <v/>
      </c>
      <c r="D29" s="7">
        <f>ROUND(D12*0.2*29*12,0)</f>
        <v/>
      </c>
      <c r="E29" s="7">
        <f>ROUND(E12*0.2*29*12,0)</f>
        <v/>
      </c>
      <c r="F29" s="7">
        <f>ROUND(F12*0.2*29*12,0)</f>
        <v/>
      </c>
    </row>
    <row r="30">
      <c r="A30" s="3" t="inlineStr">
        <is>
          <t>Training &amp; Onboarding</t>
        </is>
      </c>
      <c r="B30" s="6" t="n">
        <v>5000</v>
      </c>
      <c r="C30" s="6" t="n">
        <v>20000</v>
      </c>
      <c r="D30" s="6" t="n">
        <v>60000</v>
      </c>
      <c r="E30" s="6" t="n">
        <v>120000</v>
      </c>
      <c r="F30" s="6" t="n">
        <v>200000</v>
      </c>
    </row>
    <row r="31">
      <c r="A31" s="3" t="inlineStr">
        <is>
          <t>Custom Integrations</t>
        </is>
      </c>
      <c r="B31" s="10" t="n">
        <v>0</v>
      </c>
      <c r="C31" s="6" t="n">
        <v>10000</v>
      </c>
      <c r="D31" s="6" t="n">
        <v>40000</v>
      </c>
      <c r="E31" s="6" t="n">
        <v>100000</v>
      </c>
      <c r="F31" s="6" t="n">
        <v>200000</v>
      </c>
    </row>
    <row r="32">
      <c r="A32" s="3" t="inlineStr">
        <is>
          <t>Total Additional Revenue</t>
        </is>
      </c>
      <c r="B32" s="7">
        <f>SUM(B29:B31)</f>
        <v/>
      </c>
      <c r="C32" s="7">
        <f>SUM(C29:C31)</f>
        <v/>
      </c>
      <c r="D32" s="7">
        <f>SUM(D29:D31)</f>
        <v/>
      </c>
      <c r="E32" s="7">
        <f>SUM(E29:E31)</f>
        <v/>
      </c>
      <c r="F32" s="7">
        <f>SUM(F29:F31)</f>
        <v/>
      </c>
    </row>
    <row r="33"/>
    <row r="34">
      <c r="A34" s="2" t="inlineStr">
        <is>
          <t>TOTAL ANNUAL REVENUE</t>
        </is>
      </c>
      <c r="B34" s="15">
        <f>B26+B32</f>
        <v/>
      </c>
      <c r="C34" s="15">
        <f>C26+C32</f>
        <v/>
      </c>
      <c r="D34" s="15">
        <f>D26+D32</f>
        <v/>
      </c>
      <c r="E34" s="15">
        <f>E26+E32</f>
        <v/>
      </c>
      <c r="F34" s="15">
        <f>F26+F32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4" t="inlineStr">
        <is>
          <t>5-YEAR COST STRUCTURE</t>
        </is>
      </c>
    </row>
    <row r="2"/>
    <row r="3">
      <c r="A3" s="5" t="inlineStr">
        <is>
          <t>Metric</t>
        </is>
      </c>
      <c r="B3" s="5" t="inlineStr">
        <is>
          <t>Year 1</t>
        </is>
      </c>
      <c r="C3" s="5" t="inlineStr">
        <is>
          <t>Year 2</t>
        </is>
      </c>
      <c r="D3" s="5" t="inlineStr">
        <is>
          <t>Year 3</t>
        </is>
      </c>
      <c r="E3" s="5" t="inlineStr">
        <is>
          <t>Year 4</t>
        </is>
      </c>
      <c r="F3" s="5" t="inlineStr">
        <is>
          <t>Year 5</t>
        </is>
      </c>
    </row>
    <row r="4">
      <c r="A4" s="13" t="inlineStr">
        <is>
          <t>INFRASTRUCTURE</t>
        </is>
      </c>
    </row>
    <row r="5">
      <c r="A5" s="3" t="inlineStr">
        <is>
          <t>Cloud Hosting (AWS/Vercel)</t>
        </is>
      </c>
      <c r="B5" s="6" t="n">
        <v>6000</v>
      </c>
      <c r="C5" s="6" t="n">
        <v>18000</v>
      </c>
      <c r="D5" s="6" t="n">
        <v>48000</v>
      </c>
      <c r="E5" s="6" t="n">
        <v>96000</v>
      </c>
      <c r="F5" s="6" t="n">
        <v>180000</v>
      </c>
    </row>
    <row r="6">
      <c r="A6" s="3" t="inlineStr">
        <is>
          <t>Database &amp; Redis</t>
        </is>
      </c>
      <c r="B6" s="6" t="n">
        <v>2400</v>
      </c>
      <c r="C6" s="6" t="n">
        <v>6000</v>
      </c>
      <c r="D6" s="6" t="n">
        <v>14400</v>
      </c>
      <c r="E6" s="6" t="n">
        <v>28800</v>
      </c>
      <c r="F6" s="6" t="n">
        <v>48000</v>
      </c>
    </row>
    <row r="7">
      <c r="A7" s="3" t="inlineStr">
        <is>
          <t>OpenAI API Costs</t>
        </is>
      </c>
      <c r="B7" s="6" t="n">
        <v>3600</v>
      </c>
      <c r="C7" s="6" t="n">
        <v>12000</v>
      </c>
      <c r="D7" s="6" t="n">
        <v>36000</v>
      </c>
      <c r="E7" s="6" t="n">
        <v>84000</v>
      </c>
      <c r="F7" s="6" t="n">
        <v>156000</v>
      </c>
    </row>
    <row r="8">
      <c r="A8" s="3" t="inlineStr">
        <is>
          <t>Domain, SSL, CDN</t>
        </is>
      </c>
      <c r="B8" s="6" t="n">
        <v>500</v>
      </c>
      <c r="C8" s="6" t="n">
        <v>500</v>
      </c>
      <c r="D8" s="6" t="n">
        <v>1000</v>
      </c>
      <c r="E8" s="6" t="n">
        <v>1000</v>
      </c>
      <c r="F8" s="6" t="n">
        <v>2000</v>
      </c>
    </row>
    <row r="9">
      <c r="A9" s="3" t="inlineStr">
        <is>
          <t>Monitoring &amp; Security</t>
        </is>
      </c>
      <c r="B9" s="6" t="n">
        <v>1200</v>
      </c>
      <c r="C9" s="6" t="n">
        <v>3600</v>
      </c>
      <c r="D9" s="6" t="n">
        <v>7200</v>
      </c>
      <c r="E9" s="6" t="n">
        <v>12000</v>
      </c>
      <c r="F9" s="6" t="n">
        <v>18000</v>
      </c>
    </row>
    <row r="10">
      <c r="A10" s="3" t="inlineStr">
        <is>
          <t>Subtotal Infrastructure</t>
        </is>
      </c>
      <c r="B10" s="14">
        <f>SUM(B5:B9)</f>
        <v/>
      </c>
      <c r="C10" s="14">
        <f>SUM(C5:C9)</f>
        <v/>
      </c>
      <c r="D10" s="14">
        <f>SUM(D5:D9)</f>
        <v/>
      </c>
      <c r="E10" s="14">
        <f>SUM(E5:E9)</f>
        <v/>
      </c>
      <c r="F10" s="14">
        <f>SUM(F5:F9)</f>
        <v/>
      </c>
    </row>
    <row r="11"/>
    <row r="12">
      <c r="A12" s="13" t="inlineStr">
        <is>
          <t>TEAM (Salaries + Benefits)</t>
        </is>
      </c>
    </row>
    <row r="13">
      <c r="A13" s="3" t="inlineStr">
        <is>
          <t>Founders (2x)</t>
        </is>
      </c>
      <c r="B13" s="6" t="n">
        <v>0</v>
      </c>
      <c r="C13" s="6" t="n">
        <v>60000</v>
      </c>
      <c r="D13" s="6" t="n">
        <v>120000</v>
      </c>
      <c r="E13" s="6" t="n">
        <v>180000</v>
      </c>
      <c r="F13" s="6" t="n">
        <v>240000</v>
      </c>
    </row>
    <row r="14">
      <c r="A14" s="3" t="inlineStr">
        <is>
          <t>Backend Engineers</t>
        </is>
      </c>
      <c r="B14" s="6" t="n">
        <v>0</v>
      </c>
      <c r="C14" s="6" t="n">
        <v>45000</v>
      </c>
      <c r="D14" s="6" t="n">
        <v>135000</v>
      </c>
      <c r="E14" s="6" t="n">
        <v>225000</v>
      </c>
      <c r="F14" s="6" t="n">
        <v>360000</v>
      </c>
    </row>
    <row r="15">
      <c r="A15" s="3" t="inlineStr">
        <is>
          <t>Frontend Engineers</t>
        </is>
      </c>
      <c r="B15" s="6" t="n">
        <v>0</v>
      </c>
      <c r="C15" s="6" t="n">
        <v>45000</v>
      </c>
      <c r="D15" s="6" t="n">
        <v>90000</v>
      </c>
      <c r="E15" s="6" t="n">
        <v>180000</v>
      </c>
      <c r="F15" s="6" t="n">
        <v>270000</v>
      </c>
    </row>
    <row r="16">
      <c r="A16" s="3" t="inlineStr">
        <is>
          <t>DevOps / SRE</t>
        </is>
      </c>
      <c r="B16" s="6" t="n">
        <v>0</v>
      </c>
      <c r="C16" s="6" t="n">
        <v>0</v>
      </c>
      <c r="D16" s="6" t="n">
        <v>55000</v>
      </c>
      <c r="E16" s="6" t="n">
        <v>110000</v>
      </c>
      <c r="F16" s="6" t="n">
        <v>165000</v>
      </c>
    </row>
    <row r="17">
      <c r="A17" s="3" t="inlineStr">
        <is>
          <t>Product / Design</t>
        </is>
      </c>
      <c r="B17" s="6" t="n">
        <v>0</v>
      </c>
      <c r="C17" s="6" t="n">
        <v>0</v>
      </c>
      <c r="D17" s="6" t="n">
        <v>50000</v>
      </c>
      <c r="E17" s="6" t="n">
        <v>100000</v>
      </c>
      <c r="F17" s="6" t="n">
        <v>150000</v>
      </c>
    </row>
    <row r="18">
      <c r="A18" s="3" t="inlineStr">
        <is>
          <t>Sales &amp; Marketing</t>
        </is>
      </c>
      <c r="B18" s="6" t="n">
        <v>0</v>
      </c>
      <c r="C18" s="6" t="n">
        <v>30000</v>
      </c>
      <c r="D18" s="6" t="n">
        <v>90000</v>
      </c>
      <c r="E18" s="6" t="n">
        <v>180000</v>
      </c>
      <c r="F18" s="6" t="n">
        <v>300000</v>
      </c>
    </row>
    <row r="19">
      <c r="A19" s="3" t="inlineStr">
        <is>
          <t>Customer Success</t>
        </is>
      </c>
      <c r="B19" s="6" t="n">
        <v>0</v>
      </c>
      <c r="C19" s="6" t="n">
        <v>0</v>
      </c>
      <c r="D19" s="6" t="n">
        <v>45000</v>
      </c>
      <c r="E19" s="6" t="n">
        <v>90000</v>
      </c>
      <c r="F19" s="6" t="n">
        <v>180000</v>
      </c>
    </row>
    <row r="20">
      <c r="A20" s="3" t="inlineStr">
        <is>
          <t>Subtotal Team</t>
        </is>
      </c>
      <c r="B20" s="14">
        <f>SUM(B13:B19)</f>
        <v/>
      </c>
      <c r="C20" s="14">
        <f>SUM(C13:C19)</f>
        <v/>
      </c>
      <c r="D20" s="14">
        <f>SUM(D13:D19)</f>
        <v/>
      </c>
      <c r="E20" s="14">
        <f>SUM(E13:E19)</f>
        <v/>
      </c>
      <c r="F20" s="14">
        <f>SUM(F13:F19)</f>
        <v/>
      </c>
    </row>
    <row r="21"/>
    <row r="22">
      <c r="A22" s="13" t="inlineStr">
        <is>
          <t>MARKETING &amp; SALES</t>
        </is>
      </c>
    </row>
    <row r="23">
      <c r="A23" s="3" t="inlineStr">
        <is>
          <t>Content Marketing &amp; SEO</t>
        </is>
      </c>
      <c r="B23" s="6" t="n">
        <v>3000</v>
      </c>
      <c r="C23" s="6" t="n">
        <v>12000</v>
      </c>
      <c r="D23" s="6" t="n">
        <v>30000</v>
      </c>
      <c r="E23" s="6" t="n">
        <v>60000</v>
      </c>
      <c r="F23" s="6" t="n">
        <v>96000</v>
      </c>
    </row>
    <row r="24">
      <c r="A24" s="3" t="inlineStr">
        <is>
          <t>Paid Advertising</t>
        </is>
      </c>
      <c r="B24" s="6" t="n">
        <v>2000</v>
      </c>
      <c r="C24" s="6" t="n">
        <v>15000</v>
      </c>
      <c r="D24" s="6" t="n">
        <v>50000</v>
      </c>
      <c r="E24" s="6" t="n">
        <v>100000</v>
      </c>
      <c r="F24" s="6" t="n">
        <v>180000</v>
      </c>
    </row>
    <row r="25">
      <c r="A25" s="3" t="inlineStr">
        <is>
          <t>Events &amp; Trade Shows</t>
        </is>
      </c>
      <c r="B25" s="6" t="n">
        <v>0</v>
      </c>
      <c r="C25" s="6" t="n">
        <v>5000</v>
      </c>
      <c r="D25" s="6" t="n">
        <v>20000</v>
      </c>
      <c r="E25" s="6" t="n">
        <v>40000</v>
      </c>
      <c r="F25" s="6" t="n">
        <v>60000</v>
      </c>
    </row>
    <row r="26">
      <c r="A26" s="3" t="inlineStr">
        <is>
          <t>Partner Commissions</t>
        </is>
      </c>
      <c r="B26" s="6" t="n">
        <v>0</v>
      </c>
      <c r="C26" s="6" t="n">
        <v>3000</v>
      </c>
      <c r="D26" s="6" t="n">
        <v>15000</v>
      </c>
      <c r="E26" s="6" t="n">
        <v>40000</v>
      </c>
      <c r="F26" s="6" t="n">
        <v>80000</v>
      </c>
    </row>
    <row r="27">
      <c r="A27" s="3" t="inlineStr">
        <is>
          <t>Subtotal Marketing</t>
        </is>
      </c>
      <c r="B27" s="14">
        <f>SUM(B23:B26)</f>
        <v/>
      </c>
      <c r="C27" s="14">
        <f>SUM(C23:C26)</f>
        <v/>
      </c>
      <c r="D27" s="14">
        <f>SUM(D23:D26)</f>
        <v/>
      </c>
      <c r="E27" s="14">
        <f>SUM(E23:E26)</f>
        <v/>
      </c>
      <c r="F27" s="14">
        <f>SUM(F23:F26)</f>
        <v/>
      </c>
    </row>
    <row r="28"/>
    <row r="29">
      <c r="A29" s="13" t="inlineStr">
        <is>
          <t>OPERATIONS</t>
        </is>
      </c>
    </row>
    <row r="30">
      <c r="A30" s="3" t="inlineStr">
        <is>
          <t>Legal &amp; Compliance</t>
        </is>
      </c>
      <c r="B30" s="6" t="n">
        <v>3000</v>
      </c>
      <c r="C30" s="6" t="n">
        <v>6000</v>
      </c>
      <c r="D30" s="6" t="n">
        <v>12000</v>
      </c>
      <c r="E30" s="6" t="n">
        <v>18000</v>
      </c>
      <c r="F30" s="6" t="n">
        <v>24000</v>
      </c>
    </row>
    <row r="31">
      <c r="A31" s="3" t="inlineStr">
        <is>
          <t>Accounting &amp; Admin</t>
        </is>
      </c>
      <c r="B31" s="6" t="n">
        <v>2000</v>
      </c>
      <c r="C31" s="6" t="n">
        <v>5000</v>
      </c>
      <c r="D31" s="6" t="n">
        <v>10000</v>
      </c>
      <c r="E31" s="6" t="n">
        <v>18000</v>
      </c>
      <c r="F31" s="6" t="n">
        <v>24000</v>
      </c>
    </row>
    <row r="32">
      <c r="A32" s="3" t="inlineStr">
        <is>
          <t>Insurance</t>
        </is>
      </c>
      <c r="B32" s="6" t="n">
        <v>1500</v>
      </c>
      <c r="C32" s="6" t="n">
        <v>3000</v>
      </c>
      <c r="D32" s="6" t="n">
        <v>6000</v>
      </c>
      <c r="E32" s="6" t="n">
        <v>10000</v>
      </c>
      <c r="F32" s="6" t="n">
        <v>15000</v>
      </c>
    </row>
    <row r="33">
      <c r="A33" s="3" t="inlineStr">
        <is>
          <t>Office / Coworking</t>
        </is>
      </c>
      <c r="B33" s="6" t="n">
        <v>0</v>
      </c>
      <c r="C33" s="6" t="n">
        <v>6000</v>
      </c>
      <c r="D33" s="6" t="n">
        <v>12000</v>
      </c>
      <c r="E33" s="6" t="n">
        <v>24000</v>
      </c>
      <c r="F33" s="6" t="n">
        <v>36000</v>
      </c>
    </row>
    <row r="34">
      <c r="A34" s="3" t="inlineStr">
        <is>
          <t>Subtotal Operations</t>
        </is>
      </c>
      <c r="B34" s="14">
        <f>SUM(B30:B33)</f>
        <v/>
      </c>
      <c r="C34" s="14">
        <f>SUM(C30:C33)</f>
        <v/>
      </c>
      <c r="D34" s="14">
        <f>SUM(D30:D33)</f>
        <v/>
      </c>
      <c r="E34" s="14">
        <f>SUM(E30:E33)</f>
        <v/>
      </c>
      <c r="F34" s="14">
        <f>SUM(F30:F33)</f>
        <v/>
      </c>
    </row>
    <row r="35"/>
    <row r="36">
      <c r="A36" s="2" t="inlineStr">
        <is>
          <t>TOTAL COSTS</t>
        </is>
      </c>
      <c r="B36" s="16">
        <f>B10+B20+B27+B34</f>
        <v/>
      </c>
      <c r="C36" s="16">
        <f>C10+C20+C27+C34</f>
        <v/>
      </c>
      <c r="D36" s="16">
        <f>D10+D20+D27+D34</f>
        <v/>
      </c>
      <c r="E36" s="16">
        <f>E10+E20+E27+E34</f>
        <v/>
      </c>
      <c r="F36" s="16">
        <f>F10+F20+F27+F34</f>
        <v/>
      </c>
    </row>
    <row r="37">
      <c r="A37" s="3" t="inlineStr">
        <is>
          <t>Revenue (from Projections)</t>
        </is>
      </c>
      <c r="B37" s="7">
        <f>'Revenue Projections'!B34</f>
        <v/>
      </c>
      <c r="C37" s="7">
        <f>'Revenue Projections'!C34</f>
        <v/>
      </c>
      <c r="D37" s="7">
        <f>'Revenue Projections'!D34</f>
        <v/>
      </c>
      <c r="E37" s="7">
        <f>'Revenue Projections'!E34</f>
        <v/>
      </c>
      <c r="F37" s="7">
        <f>'Revenue Projections'!F34</f>
        <v/>
      </c>
    </row>
    <row r="38">
      <c r="A38" s="17" t="inlineStr">
        <is>
          <t>NET PROFIT / (LOSS)</t>
        </is>
      </c>
      <c r="B38" s="18">
        <f>B37-B36</f>
        <v/>
      </c>
      <c r="C38" s="18">
        <f>C37-C36</f>
        <v/>
      </c>
      <c r="D38" s="18">
        <f>D37-D36</f>
        <v/>
      </c>
      <c r="E38" s="18">
        <f>E37-E36</f>
        <v/>
      </c>
      <c r="F38" s="18">
        <f>F37-F36</f>
        <v/>
      </c>
    </row>
    <row r="39">
      <c r="A39" s="3" t="inlineStr">
        <is>
          <t>Profit Margin</t>
        </is>
      </c>
      <c r="B39" s="19">
        <f>IF(B37=0,0,B38/B37)</f>
        <v/>
      </c>
      <c r="C39" s="19">
        <f>IF(C37=0,0,C38/C37)</f>
        <v/>
      </c>
      <c r="D39" s="19">
        <f>IF(D37=0,0,D38/D37)</f>
        <v/>
      </c>
      <c r="E39" s="19">
        <f>IF(E37=0,0,E38/E37)</f>
        <v/>
      </c>
      <c r="F39" s="19">
        <f>IF(F37=0,0,F38/F37)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PRICING STRATEGY &amp; FEATURE MATRIX</t>
        </is>
      </c>
    </row>
    <row r="3" ht="40" customHeight="1">
      <c r="A3" s="5" t="inlineStr">
        <is>
          <t>Feature / Capability</t>
        </is>
      </c>
      <c r="B3" s="5" t="inlineStr">
        <is>
          <t>Starter
$49/mo</t>
        </is>
      </c>
      <c r="C3" s="5" t="inlineStr">
        <is>
          <t>Professional
$149/mo</t>
        </is>
      </c>
      <c r="D3" s="5" t="inlineStr">
        <is>
          <t>Business
$349/mo</t>
        </is>
      </c>
      <c r="E3" s="5" t="inlineStr">
        <is>
          <t>Enterprise
$899/mo</t>
        </is>
      </c>
    </row>
    <row r="4">
      <c r="A4" s="20" t="inlineStr">
        <is>
          <t>CORE LEAN TOOLS</t>
        </is>
      </c>
      <c r="B4" s="21" t="n"/>
      <c r="C4" s="21" t="n"/>
      <c r="D4" s="21" t="n"/>
      <c r="E4" s="21" t="n"/>
    </row>
    <row r="5">
      <c r="A5" s="22" t="inlineStr">
        <is>
          <t>OEE Dashboard</t>
        </is>
      </c>
      <c r="B5" s="23" t="inlineStr">
        <is>
          <t>Basic</t>
        </is>
      </c>
      <c r="C5" s="23" t="inlineStr">
        <is>
          <t>Advanced</t>
        </is>
      </c>
      <c r="D5" s="23" t="inlineStr">
        <is>
          <t>Advanced</t>
        </is>
      </c>
      <c r="E5" s="23" t="inlineStr">
        <is>
          <t>Custom</t>
        </is>
      </c>
    </row>
    <row r="6">
      <c r="A6" s="22" t="inlineStr">
        <is>
          <t>Production Input</t>
        </is>
      </c>
      <c r="B6" s="24" t="inlineStr">
        <is>
          <t>Yes</t>
        </is>
      </c>
      <c r="C6" s="24" t="inlineStr">
        <is>
          <t>Yes</t>
        </is>
      </c>
      <c r="D6" s="24" t="inlineStr">
        <is>
          <t>Yes</t>
        </is>
      </c>
      <c r="E6" s="24" t="inlineStr">
        <is>
          <t>Yes</t>
        </is>
      </c>
    </row>
    <row r="7">
      <c r="A7" s="22" t="inlineStr">
        <is>
          <t>Hourly Production Board</t>
        </is>
      </c>
      <c r="B7" s="24" t="inlineStr">
        <is>
          <t>Yes</t>
        </is>
      </c>
      <c r="C7" s="24" t="inlineStr">
        <is>
          <t>Yes</t>
        </is>
      </c>
      <c r="D7" s="24" t="inlineStr">
        <is>
          <t>Yes</t>
        </is>
      </c>
      <c r="E7" s="24" t="inlineStr">
        <is>
          <t>Yes</t>
        </is>
      </c>
    </row>
    <row r="8">
      <c r="A8" s="22" t="inlineStr">
        <is>
          <t>Andon Board</t>
        </is>
      </c>
      <c r="B8" s="25" t="inlineStr">
        <is>
          <t>-</t>
        </is>
      </c>
      <c r="C8" s="24" t="inlineStr">
        <is>
          <t>Yes</t>
        </is>
      </c>
      <c r="D8" s="24" t="inlineStr">
        <is>
          <t>Yes</t>
        </is>
      </c>
      <c r="E8" s="24" t="inlineStr">
        <is>
          <t>Yes</t>
        </is>
      </c>
    </row>
    <row r="9">
      <c r="A9" s="22" t="inlineStr">
        <is>
          <t>6S Audit</t>
        </is>
      </c>
      <c r="B9" s="24" t="inlineStr">
        <is>
          <t>Yes</t>
        </is>
      </c>
      <c r="C9" s="24" t="inlineStr">
        <is>
          <t>Yes</t>
        </is>
      </c>
      <c r="D9" s="24" t="inlineStr">
        <is>
          <t>Yes</t>
        </is>
      </c>
      <c r="E9" s="24" t="inlineStr">
        <is>
          <t>Yes</t>
        </is>
      </c>
    </row>
    <row r="10">
      <c r="A10" s="22" t="inlineStr">
        <is>
          <t>CILT Checklist</t>
        </is>
      </c>
      <c r="B10" s="25" t="inlineStr">
        <is>
          <t>-</t>
        </is>
      </c>
      <c r="C10" s="24" t="inlineStr">
        <is>
          <t>Yes</t>
        </is>
      </c>
      <c r="D10" s="24" t="inlineStr">
        <is>
          <t>Yes</t>
        </is>
      </c>
      <c r="E10" s="24" t="inlineStr">
        <is>
          <t>Yes</t>
        </is>
      </c>
    </row>
    <row r="11">
      <c r="A11" s="22" t="inlineStr">
        <is>
          <t>TPM Dashboard</t>
        </is>
      </c>
      <c r="B11" s="25" t="inlineStr">
        <is>
          <t>-</t>
        </is>
      </c>
      <c r="C11" s="24" t="inlineStr">
        <is>
          <t>Yes</t>
        </is>
      </c>
      <c r="D11" s="24" t="inlineStr">
        <is>
          <t>Yes</t>
        </is>
      </c>
      <c r="E11" s="24" t="inlineStr">
        <is>
          <t>Yes</t>
        </is>
      </c>
    </row>
    <row r="13">
      <c r="A13" s="20" t="inlineStr">
        <is>
          <t>PROBLEM SOLVING</t>
        </is>
      </c>
      <c r="B13" s="21" t="n"/>
      <c r="C13" s="21" t="n"/>
      <c r="D13" s="21" t="n"/>
      <c r="E13" s="21" t="n"/>
    </row>
    <row r="14">
      <c r="A14" s="22" t="inlineStr">
        <is>
          <t>5 Why Analysis</t>
        </is>
      </c>
      <c r="B14" s="24" t="inlineStr">
        <is>
          <t>Yes</t>
        </is>
      </c>
      <c r="C14" s="24" t="inlineStr">
        <is>
          <t>Yes</t>
        </is>
      </c>
      <c r="D14" s="24" t="inlineStr">
        <is>
          <t>Yes</t>
        </is>
      </c>
      <c r="E14" s="24" t="inlineStr">
        <is>
          <t>Yes</t>
        </is>
      </c>
    </row>
    <row r="15">
      <c r="A15" s="22" t="inlineStr">
        <is>
          <t>Ishikawa Diagram</t>
        </is>
      </c>
      <c r="B15" s="24" t="inlineStr">
        <is>
          <t>Yes</t>
        </is>
      </c>
      <c r="C15" s="24" t="inlineStr">
        <is>
          <t>Yes</t>
        </is>
      </c>
      <c r="D15" s="24" t="inlineStr">
        <is>
          <t>Yes</t>
        </is>
      </c>
      <c r="E15" s="24" t="inlineStr">
        <is>
          <t>Yes</t>
        </is>
      </c>
    </row>
    <row r="16">
      <c r="A16" s="22" t="inlineStr">
        <is>
          <t>Pareto Chart</t>
        </is>
      </c>
      <c r="B16" s="25" t="inlineStr">
        <is>
          <t>-</t>
        </is>
      </c>
      <c r="C16" s="24" t="inlineStr">
        <is>
          <t>Yes</t>
        </is>
      </c>
      <c r="D16" s="24" t="inlineStr">
        <is>
          <t>Yes</t>
        </is>
      </c>
      <c r="E16" s="24" t="inlineStr">
        <is>
          <t>Yes</t>
        </is>
      </c>
    </row>
    <row r="17">
      <c r="A17" s="22" t="inlineStr">
        <is>
          <t>A3 Report</t>
        </is>
      </c>
      <c r="B17" s="25" t="inlineStr">
        <is>
          <t>-</t>
        </is>
      </c>
      <c r="C17" s="24" t="inlineStr">
        <is>
          <t>Yes</t>
        </is>
      </c>
      <c r="D17" s="24" t="inlineStr">
        <is>
          <t>Yes</t>
        </is>
      </c>
      <c r="E17" s="24" t="inlineStr">
        <is>
          <t>Yes</t>
        </is>
      </c>
    </row>
    <row r="19">
      <c r="A19" s="20" t="inlineStr">
        <is>
          <t>IMPROVEMENT</t>
        </is>
      </c>
      <c r="B19" s="21" t="n"/>
      <c r="C19" s="21" t="n"/>
      <c r="D19" s="21" t="n"/>
      <c r="E19" s="21" t="n"/>
    </row>
    <row r="20">
      <c r="A20" s="22" t="inlineStr">
        <is>
          <t>Kaizen Board</t>
        </is>
      </c>
      <c r="B20" s="25" t="inlineStr">
        <is>
          <t>-</t>
        </is>
      </c>
      <c r="C20" s="24" t="inlineStr">
        <is>
          <t>Yes</t>
        </is>
      </c>
      <c r="D20" s="24" t="inlineStr">
        <is>
          <t>Yes</t>
        </is>
      </c>
      <c r="E20" s="24" t="inlineStr">
        <is>
          <t>Yes</t>
        </is>
      </c>
    </row>
    <row r="21">
      <c r="A21" s="22" t="inlineStr">
        <is>
          <t>Value Stream Mapping</t>
        </is>
      </c>
      <c r="B21" s="25" t="inlineStr">
        <is>
          <t>-</t>
        </is>
      </c>
      <c r="C21" s="25" t="inlineStr">
        <is>
          <t>-</t>
        </is>
      </c>
      <c r="D21" s="24" t="inlineStr">
        <is>
          <t>Yes</t>
        </is>
      </c>
      <c r="E21" s="24" t="inlineStr">
        <is>
          <t>Yes</t>
        </is>
      </c>
    </row>
    <row r="22">
      <c r="A22" s="22" t="inlineStr">
        <is>
          <t>SMED Tracker</t>
        </is>
      </c>
      <c r="B22" s="25" t="inlineStr">
        <is>
          <t>-</t>
        </is>
      </c>
      <c r="C22" s="25" t="inlineStr">
        <is>
          <t>-</t>
        </is>
      </c>
      <c r="D22" s="24" t="inlineStr">
        <is>
          <t>Yes</t>
        </is>
      </c>
      <c r="E22" s="24" t="inlineStr">
        <is>
          <t>Yes</t>
        </is>
      </c>
    </row>
    <row r="23">
      <c r="A23" s="22" t="inlineStr">
        <is>
          <t>Gemba Walk</t>
        </is>
      </c>
      <c r="B23" s="25" t="inlineStr">
        <is>
          <t>-</t>
        </is>
      </c>
      <c r="C23" s="24" t="inlineStr">
        <is>
          <t>Yes</t>
        </is>
      </c>
      <c r="D23" s="24" t="inlineStr">
        <is>
          <t>Yes</t>
        </is>
      </c>
      <c r="E23" s="24" t="inlineStr">
        <is>
          <t>Yes</t>
        </is>
      </c>
    </row>
    <row r="25">
      <c r="A25" s="20" t="inlineStr">
        <is>
          <t>AI &amp; ANALYTICS</t>
        </is>
      </c>
      <c r="B25" s="21" t="n"/>
      <c r="C25" s="21" t="n"/>
      <c r="D25" s="21" t="n"/>
      <c r="E25" s="21" t="n"/>
    </row>
    <row r="26">
      <c r="A26" s="22" t="inlineStr">
        <is>
          <t>Factory Copilot (AI)</t>
        </is>
      </c>
      <c r="B26" s="25" t="inlineStr">
        <is>
          <t>-</t>
        </is>
      </c>
      <c r="C26" s="23" t="inlineStr">
        <is>
          <t>Basic</t>
        </is>
      </c>
      <c r="D26" s="23" t="inlineStr">
        <is>
          <t>Advanced</t>
        </is>
      </c>
      <c r="E26" s="23" t="inlineStr">
        <is>
          <t>Unlimited</t>
        </is>
      </c>
    </row>
    <row r="27">
      <c r="A27" s="22" t="inlineStr">
        <is>
          <t>Lean Assessment</t>
        </is>
      </c>
      <c r="B27" s="24" t="inlineStr">
        <is>
          <t>Yes</t>
        </is>
      </c>
      <c r="C27" s="24" t="inlineStr">
        <is>
          <t>Yes</t>
        </is>
      </c>
      <c r="D27" s="24" t="inlineStr">
        <is>
          <t>Yes</t>
        </is>
      </c>
      <c r="E27" s="24" t="inlineStr">
        <is>
          <t>Yes</t>
        </is>
      </c>
    </row>
    <row r="28">
      <c r="A28" s="22" t="inlineStr">
        <is>
          <t>Custom Reports</t>
        </is>
      </c>
      <c r="B28" s="25" t="inlineStr">
        <is>
          <t>-</t>
        </is>
      </c>
      <c r="C28" s="25" t="inlineStr">
        <is>
          <t>-</t>
        </is>
      </c>
      <c r="D28" s="24" t="inlineStr">
        <is>
          <t>Yes</t>
        </is>
      </c>
      <c r="E28" s="24" t="inlineStr">
        <is>
          <t>Yes</t>
        </is>
      </c>
    </row>
    <row r="29">
      <c r="A29" s="22" t="inlineStr">
        <is>
          <t>API Access</t>
        </is>
      </c>
      <c r="B29" s="25" t="inlineStr">
        <is>
          <t>-</t>
        </is>
      </c>
      <c r="C29" s="25" t="inlineStr">
        <is>
          <t>-</t>
        </is>
      </c>
      <c r="D29" s="25" t="inlineStr">
        <is>
          <t>-</t>
        </is>
      </c>
      <c r="E29" s="24" t="inlineStr">
        <is>
          <t>Yes</t>
        </is>
      </c>
    </row>
    <row r="31">
      <c r="A31" s="20" t="inlineStr">
        <is>
          <t>SUPPORT &amp; ADMIN</t>
        </is>
      </c>
      <c r="B31" s="21" t="n"/>
      <c r="C31" s="21" t="n"/>
      <c r="D31" s="21" t="n"/>
      <c r="E31" s="21" t="n"/>
    </row>
    <row r="32">
      <c r="A32" s="22" t="inlineStr">
        <is>
          <t>Users Included</t>
        </is>
      </c>
      <c r="B32" s="23" t="inlineStr">
        <is>
          <t>3</t>
        </is>
      </c>
      <c r="C32" s="23" t="inlineStr">
        <is>
          <t>10</t>
        </is>
      </c>
      <c r="D32" s="23" t="inlineStr">
        <is>
          <t>25</t>
        </is>
      </c>
      <c r="E32" s="23" t="inlineStr">
        <is>
          <t>Unlimited</t>
        </is>
      </c>
    </row>
    <row r="33">
      <c r="A33" s="22" t="inlineStr">
        <is>
          <t>Production Lines</t>
        </is>
      </c>
      <c r="B33" s="23" t="inlineStr">
        <is>
          <t>1</t>
        </is>
      </c>
      <c r="C33" s="23" t="inlineStr">
        <is>
          <t>3</t>
        </is>
      </c>
      <c r="D33" s="23" t="inlineStr">
        <is>
          <t>10</t>
        </is>
      </c>
      <c r="E33" s="23" t="inlineStr">
        <is>
          <t>Unlimited</t>
        </is>
      </c>
    </row>
    <row r="34">
      <c r="A34" s="22" t="inlineStr">
        <is>
          <t>Data Retention</t>
        </is>
      </c>
      <c r="B34" s="23" t="inlineStr">
        <is>
          <t>90 days</t>
        </is>
      </c>
      <c r="C34" s="23" t="inlineStr">
        <is>
          <t>1 year</t>
        </is>
      </c>
      <c r="D34" s="23" t="inlineStr">
        <is>
          <t>3 years</t>
        </is>
      </c>
      <c r="E34" s="23" t="inlineStr">
        <is>
          <t>Unlimited</t>
        </is>
      </c>
    </row>
    <row r="35">
      <c r="A35" s="22" t="inlineStr">
        <is>
          <t>Support</t>
        </is>
      </c>
      <c r="B35" s="23" t="inlineStr">
        <is>
          <t>Email</t>
        </is>
      </c>
      <c r="C35" s="23" t="inlineStr">
        <is>
          <t>Priority</t>
        </is>
      </c>
      <c r="D35" s="23" t="inlineStr">
        <is>
          <t>Dedicated</t>
        </is>
      </c>
      <c r="E35" s="23" t="inlineStr">
        <is>
          <t>24/7 + SLA</t>
        </is>
      </c>
    </row>
    <row r="36">
      <c r="A36" s="22" t="inlineStr">
        <is>
          <t>Onboarding</t>
        </is>
      </c>
      <c r="B36" s="23" t="inlineStr">
        <is>
          <t>Self-serve</t>
        </is>
      </c>
      <c r="C36" s="23" t="inlineStr">
        <is>
          <t>Guided</t>
        </is>
      </c>
      <c r="D36" s="23" t="inlineStr">
        <is>
          <t>White-glove</t>
        </is>
      </c>
      <c r="E36" s="23" t="inlineStr">
        <is>
          <t>Custom</t>
        </is>
      </c>
    </row>
    <row r="37">
      <c r="A37" s="22" t="inlineStr">
        <is>
          <t>SSO / SAML</t>
        </is>
      </c>
      <c r="B37" s="25" t="inlineStr">
        <is>
          <t>-</t>
        </is>
      </c>
      <c r="C37" s="25" t="inlineStr">
        <is>
          <t>-</t>
        </is>
      </c>
      <c r="D37" s="24" t="inlineStr">
        <is>
          <t>Yes</t>
        </is>
      </c>
      <c r="E37" s="24" t="inlineStr">
        <is>
          <t>Yes</t>
        </is>
      </c>
    </row>
    <row r="38">
      <c r="A38" s="22" t="inlineStr">
        <is>
          <t>Custom Branding</t>
        </is>
      </c>
      <c r="B38" s="25" t="inlineStr">
        <is>
          <t>-</t>
        </is>
      </c>
      <c r="C38" s="25" t="inlineStr">
        <is>
          <t>-</t>
        </is>
      </c>
      <c r="D38" s="25" t="inlineStr">
        <is>
          <t>-</t>
        </is>
      </c>
      <c r="E38" s="24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5" customWidth="1" min="3" max="3"/>
    <col width="14" customWidth="1" min="4" max="4"/>
    <col width="22" customWidth="1" min="5" max="5"/>
  </cols>
  <sheetData>
    <row r="1">
      <c r="A1" s="4" t="inlineStr">
        <is>
          <t>GO-TO-MARKET STRATEGY</t>
        </is>
      </c>
    </row>
    <row r="3">
      <c r="A3" s="5" t="inlineStr">
        <is>
          <t>Phase</t>
        </is>
      </c>
      <c r="B3" s="5" t="inlineStr">
        <is>
          <t>Timeline</t>
        </is>
      </c>
      <c r="C3" s="5" t="inlineStr">
        <is>
          <t>Activities</t>
        </is>
      </c>
      <c r="D3" s="5" t="inlineStr">
        <is>
          <t>Budget</t>
        </is>
      </c>
      <c r="E3" s="5" t="inlineStr">
        <is>
          <t>KPIs</t>
        </is>
      </c>
    </row>
    <row r="4" ht="80" customHeight="1">
      <c r="A4" s="26" t="inlineStr">
        <is>
          <t>Phase 1: Validate</t>
        </is>
      </c>
      <c r="B4" s="26" t="inlineStr">
        <is>
          <t>Months 1-6</t>
        </is>
      </c>
      <c r="C4" s="26" t="inlineStr">
        <is>
          <t>Beta launch with 10-20 Italian factories
Content marketing (lean blog, LinkedIn)
Lean consultant partnerships
Product-market fit validation</t>
        </is>
      </c>
      <c r="D4" s="26" t="inlineStr">
        <is>
          <t>$15,000</t>
        </is>
      </c>
      <c r="E4" s="26" t="inlineStr">
        <is>
          <t>20 beta users
5 paying customers
NPS &gt; 40</t>
        </is>
      </c>
    </row>
    <row r="5" ht="80" customHeight="1">
      <c r="A5" s="26" t="inlineStr">
        <is>
          <t>Phase 2: Scale EU</t>
        </is>
      </c>
      <c r="B5" s="26" t="inlineStr">
        <is>
          <t>Months 7-18</t>
        </is>
      </c>
      <c r="C5" s="26" t="inlineStr">
        <is>
          <t>Launch in IT, DE, UK, Balkans
Paid ads (Google, LinkedIn)
Trade show presence (SPS, Hannover)
Partner channel development
Localize for DE, FR</t>
        </is>
      </c>
      <c r="D5" s="26" t="inlineStr">
        <is>
          <t>$120,000</t>
        </is>
      </c>
      <c r="E5" s="26" t="inlineStr">
        <is>
          <t>200 customers
$50K MRR
CAC &lt; $500</t>
        </is>
      </c>
    </row>
    <row r="6" ht="80" customHeight="1">
      <c r="A6" s="26" t="inlineStr">
        <is>
          <t>Phase 3: Expand</t>
        </is>
      </c>
      <c r="B6" s="26" t="inlineStr">
        <is>
          <t>Months 19-36</t>
        </is>
      </c>
      <c r="C6" s="26" t="inlineStr">
        <is>
          <t>Enter US market
Enterprise sales team
Strategic partnerships (ERP vendors)
Advanced AI features
Mobile app launch</t>
        </is>
      </c>
      <c r="D6" s="26" t="inlineStr">
        <is>
          <t>$500,000</t>
        </is>
      </c>
      <c r="E6" s="26" t="inlineStr">
        <is>
          <t>1,000 customers
$300K MRR
LTV/CAC &gt; 3</t>
        </is>
      </c>
    </row>
    <row r="7" ht="80" customHeight="1">
      <c r="A7" s="26" t="inlineStr">
        <is>
          <t>Phase 4: Dominate</t>
        </is>
      </c>
      <c r="B7" s="26" t="inlineStr">
        <is>
          <t>Months 37-60</t>
        </is>
      </c>
      <c r="C7" s="26" t="inlineStr">
        <is>
          <t>Market leadership in EU
Acquisition targets
IPO preparation
Platform ecosystem
Marketplace for lean add-ons</t>
        </is>
      </c>
      <c r="D7" s="26" t="inlineStr">
        <is>
          <t>$1,500,000</t>
        </is>
      </c>
      <c r="E7" s="26" t="inlineStr">
        <is>
          <t>3,000+ customers
$1M+ MRR
Profitable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4" t="inlineStr">
        <is>
          <t>KEY PERFORMANCE INDICATORS &amp; MILESTONES</t>
        </is>
      </c>
    </row>
    <row r="2"/>
    <row r="3">
      <c r="A3" s="5" t="inlineStr">
        <is>
          <t>Metric</t>
        </is>
      </c>
      <c r="B3" s="5" t="inlineStr">
        <is>
          <t>Year 1</t>
        </is>
      </c>
      <c r="C3" s="5" t="inlineStr">
        <is>
          <t>Year 2</t>
        </is>
      </c>
      <c r="D3" s="5" t="inlineStr">
        <is>
          <t>Year 3</t>
        </is>
      </c>
      <c r="E3" s="5" t="inlineStr">
        <is>
          <t>Year 4</t>
        </is>
      </c>
      <c r="F3" s="5" t="inlineStr">
        <is>
          <t>Year 5</t>
        </is>
      </c>
    </row>
    <row r="4">
      <c r="A4" s="13" t="inlineStr">
        <is>
          <t>GROWTH METRICS</t>
        </is>
      </c>
    </row>
    <row r="5">
      <c r="A5" s="3" t="inlineStr">
        <is>
          <t>Active Customers</t>
        </is>
      </c>
      <c r="B5" s="11">
        <f>'Revenue Projections'!B12</f>
        <v/>
      </c>
      <c r="C5" s="11">
        <f>'Revenue Projections'!C12</f>
        <v/>
      </c>
      <c r="D5" s="11">
        <f>'Revenue Projections'!D12</f>
        <v/>
      </c>
      <c r="E5" s="11">
        <f>'Revenue Projections'!E12</f>
        <v/>
      </c>
      <c r="F5" s="11">
        <f>'Revenue Projections'!F12</f>
        <v/>
      </c>
    </row>
    <row r="6">
      <c r="A6" s="3" t="inlineStr">
        <is>
          <t>MRR</t>
        </is>
      </c>
      <c r="B6" s="7">
        <f>'Revenue Projections'!B25</f>
        <v/>
      </c>
      <c r="C6" s="7">
        <f>'Revenue Projections'!C25</f>
        <v/>
      </c>
      <c r="D6" s="7">
        <f>'Revenue Projections'!D25</f>
        <v/>
      </c>
      <c r="E6" s="7">
        <f>'Revenue Projections'!E25</f>
        <v/>
      </c>
      <c r="F6" s="7">
        <f>'Revenue Projections'!F25</f>
        <v/>
      </c>
    </row>
    <row r="7">
      <c r="A7" s="3" t="inlineStr">
        <is>
          <t>ARR</t>
        </is>
      </c>
      <c r="B7" s="7">
        <f>'Revenue Projections'!B26</f>
        <v/>
      </c>
      <c r="C7" s="7">
        <f>'Revenue Projections'!C26</f>
        <v/>
      </c>
      <c r="D7" s="7">
        <f>'Revenue Projections'!D26</f>
        <v/>
      </c>
      <c r="E7" s="7">
        <f>'Revenue Projections'!E26</f>
        <v/>
      </c>
      <c r="F7" s="7">
        <f>'Revenue Projections'!F26</f>
        <v/>
      </c>
    </row>
    <row r="8">
      <c r="A8" s="3" t="inlineStr">
        <is>
          <t>YoY Revenue Growth</t>
        </is>
      </c>
      <c r="B8" s="3" t="inlineStr">
        <is>
          <t>N/A</t>
        </is>
      </c>
      <c r="C8" s="19">
        <f>IF(B7=0,0,(C7-B7)/B7)</f>
        <v/>
      </c>
      <c r="D8" s="19">
        <f>IF(C7=0,0,(D7-C7)/C7)</f>
        <v/>
      </c>
      <c r="E8" s="19">
        <f>IF(D7=0,0,(E7-D7)/D7)</f>
        <v/>
      </c>
      <c r="F8" s="19">
        <f>IF(E7=0,0,(F7-E7)/E7)</f>
        <v/>
      </c>
    </row>
    <row r="9"/>
    <row r="10">
      <c r="A10" s="13" t="inlineStr">
        <is>
          <t>UNIT ECONOMICS</t>
        </is>
      </c>
    </row>
    <row r="11">
      <c r="A11" s="3" t="inlineStr">
        <is>
          <t>ARPU (Monthly)</t>
        </is>
      </c>
      <c r="B11" s="6" t="n">
        <v>49</v>
      </c>
      <c r="C11" s="6" t="n">
        <v>95</v>
      </c>
      <c r="D11" s="6" t="n">
        <v>145</v>
      </c>
      <c r="E11" s="6" t="n">
        <v>185</v>
      </c>
      <c r="F11" s="6" t="n">
        <v>220</v>
      </c>
    </row>
    <row r="12">
      <c r="A12" s="3" t="inlineStr">
        <is>
          <t>CAC (Customer Acquisition Cost)</t>
        </is>
      </c>
      <c r="B12" s="6" t="n">
        <v>800</v>
      </c>
      <c r="C12" s="6" t="n">
        <v>500</v>
      </c>
      <c r="D12" s="6" t="n">
        <v>400</v>
      </c>
      <c r="E12" s="6" t="n">
        <v>350</v>
      </c>
      <c r="F12" s="6" t="n">
        <v>300</v>
      </c>
    </row>
    <row r="13">
      <c r="A13" s="3" t="inlineStr">
        <is>
          <t>LTV (Lifetime Value)</t>
        </is>
      </c>
      <c r="B13" s="7">
        <f>IF(B17=0,0,B11/(B17))</f>
        <v/>
      </c>
      <c r="C13" s="7">
        <f>IF(C17=0,0,C11/(C17))</f>
        <v/>
      </c>
      <c r="D13" s="7">
        <f>IF(D17=0,0,D11/(D17))</f>
        <v/>
      </c>
      <c r="E13" s="7">
        <f>IF(E17=0,0,E11/(E17))</f>
        <v/>
      </c>
      <c r="F13" s="7">
        <f>IF(F17=0,0,F11/(F17))</f>
        <v/>
      </c>
    </row>
    <row r="14">
      <c r="A14" s="3" t="inlineStr">
        <is>
          <t>LTV/CAC Ratio</t>
        </is>
      </c>
      <c r="B14" s="27">
        <f>IF(B12=0,0,B13/B12)</f>
        <v/>
      </c>
      <c r="C14" s="27">
        <f>IF(C12=0,0,C13/C12)</f>
        <v/>
      </c>
      <c r="D14" s="27">
        <f>IF(D12=0,0,D13/D12)</f>
        <v/>
      </c>
      <c r="E14" s="27">
        <f>IF(E12=0,0,E13/E12)</f>
        <v/>
      </c>
      <c r="F14" s="27">
        <f>IF(F12=0,0,F13/F12)</f>
        <v/>
      </c>
    </row>
    <row r="15">
      <c r="A15" s="3" t="inlineStr">
        <is>
          <t>Payback Period (Months)</t>
        </is>
      </c>
      <c r="B15" s="28">
        <f>IF(B11=0,0,B12/B11)</f>
        <v/>
      </c>
      <c r="C15" s="28">
        <f>IF(C11=0,0,C12/C11)</f>
        <v/>
      </c>
      <c r="D15" s="28">
        <f>IF(D11=0,0,D12/D11)</f>
        <v/>
      </c>
      <c r="E15" s="28">
        <f>IF(E11=0,0,E12/E11)</f>
        <v/>
      </c>
      <c r="F15" s="28">
        <f>IF(F11=0,0,F12/F11)</f>
        <v/>
      </c>
    </row>
    <row r="16"/>
    <row r="17">
      <c r="A17" s="13" t="inlineStr">
        <is>
          <t>OPERATIONAL</t>
        </is>
      </c>
    </row>
    <row r="18">
      <c r="A18" s="3" t="inlineStr">
        <is>
          <t>Monthly Churn Rate</t>
        </is>
      </c>
      <c r="B18" s="29" t="n">
        <v>0.013</v>
      </c>
      <c r="C18" s="29" t="n">
        <v>0.01</v>
      </c>
      <c r="D18" s="29" t="n">
        <v>0.008</v>
      </c>
      <c r="E18" s="29" t="n">
        <v>0.007</v>
      </c>
      <c r="F18" s="29" t="n">
        <v>0.006</v>
      </c>
    </row>
    <row r="19">
      <c r="A19" s="3" t="inlineStr">
        <is>
          <t>NPS Score</t>
        </is>
      </c>
      <c r="B19" s="10" t="n">
        <v>30</v>
      </c>
      <c r="C19" s="10" t="n">
        <v>45</v>
      </c>
      <c r="D19" s="10" t="n">
        <v>55</v>
      </c>
      <c r="E19" s="10" t="n">
        <v>60</v>
      </c>
      <c r="F19" s="10" t="n">
        <v>65</v>
      </c>
    </row>
    <row r="20">
      <c r="A20" s="3" t="inlineStr">
        <is>
          <t>Support Tickets/Customer/Mo</t>
        </is>
      </c>
      <c r="B20" s="30" t="n">
        <v>2.5</v>
      </c>
      <c r="C20" s="30" t="n">
        <v>1.8</v>
      </c>
      <c r="D20" s="30" t="n">
        <v>1.2</v>
      </c>
      <c r="E20" s="12" t="n">
        <v>0.8</v>
      </c>
      <c r="F20" s="12" t="n">
        <v>0.5</v>
      </c>
    </row>
    <row r="21">
      <c r="A21" s="3" t="inlineStr">
        <is>
          <t>Uptime SLA</t>
        </is>
      </c>
      <c r="B21" s="12" t="n">
        <v>0.995</v>
      </c>
      <c r="C21" s="12" t="n">
        <v>0.999</v>
      </c>
      <c r="D21" s="12" t="n">
        <v>0.999</v>
      </c>
      <c r="E21" s="12" t="n">
        <v>0.9999</v>
      </c>
      <c r="F21" s="12" t="n">
        <v>0.9999</v>
      </c>
    </row>
    <row r="22"/>
    <row r="23"/>
    <row r="24">
      <c r="A24" s="4" t="inlineStr">
        <is>
          <t>KEY MILESTONES</t>
        </is>
      </c>
    </row>
    <row r="25">
      <c r="A25" s="31" t="inlineStr">
        <is>
          <t>Q2 2025</t>
        </is>
      </c>
      <c r="B25" s="3" t="inlineStr">
        <is>
          <t>Beta launch with 10 Italian pilot factories</t>
        </is>
      </c>
    </row>
    <row r="26">
      <c r="A26" s="31" t="inlineStr">
        <is>
          <t>Q4 2025</t>
        </is>
      </c>
      <c r="B26" s="3" t="inlineStr">
        <is>
          <t>First 50 paying customers, break-even on infrastructure</t>
        </is>
      </c>
    </row>
    <row r="27">
      <c r="A27" s="31" t="inlineStr">
        <is>
          <t>Q2 2026</t>
        </is>
      </c>
      <c r="B27" s="3" t="inlineStr">
        <is>
          <t>Launch in Germany and UK, 200 customers</t>
        </is>
      </c>
    </row>
    <row r="28">
      <c r="A28" s="31" t="inlineStr">
        <is>
          <t>Q4 2026</t>
        </is>
      </c>
      <c r="B28" s="3" t="inlineStr">
        <is>
          <t>Reach $50K MRR, close seed round</t>
        </is>
      </c>
    </row>
    <row r="29">
      <c r="A29" s="31" t="inlineStr">
        <is>
          <t>Q2 2027</t>
        </is>
      </c>
      <c r="B29" s="3" t="inlineStr">
        <is>
          <t>500 customers, mobile app launch</t>
        </is>
      </c>
    </row>
    <row r="30">
      <c r="A30" s="31" t="inlineStr">
        <is>
          <t>Q4 2027</t>
        </is>
      </c>
      <c r="B30" s="3" t="inlineStr">
        <is>
          <t>Reach $300K MRR, Series A ready</t>
        </is>
      </c>
    </row>
    <row r="31">
      <c r="A31" s="31" t="inlineStr">
        <is>
          <t>2028</t>
        </is>
      </c>
      <c r="B31" s="3" t="inlineStr">
        <is>
          <t>1,000+ customers, US expansion</t>
        </is>
      </c>
    </row>
    <row r="32">
      <c r="A32" s="31" t="inlineStr">
        <is>
          <t>2029</t>
        </is>
      </c>
      <c r="B32" s="3" t="inlineStr">
        <is>
          <t>Market leader in EU SME lean SaaS, $1M+ MRR</t>
        </is>
      </c>
    </row>
    <row r="33">
      <c r="A33" s="31" t="inlineStr">
        <is>
          <t>2030</t>
        </is>
      </c>
      <c r="B33" s="3" t="inlineStr">
        <is>
          <t>3,000+ customers, profitability, IPO/exit preparation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2026-03-13T20:17:09Z</dcterms:created>
  <dcterms:modified xsi:type="dcterms:W3CDTF">2026-03-13T20:17:09Z</dcterms:modified>
</cp:coreProperties>
</file>